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4F12DA77-79F2-4C9B-BB69-473D80C6E1A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8" i="2" l="1"/>
  <c r="F42" i="2"/>
  <c r="F41" i="2"/>
  <c r="F40" i="2"/>
  <c r="F39" i="2"/>
  <c r="F38" i="2"/>
  <c r="F37" i="2"/>
  <c r="F48" i="2"/>
  <c r="F47" i="2"/>
  <c r="F46" i="2"/>
  <c r="F45" i="2"/>
  <c r="F44" i="2"/>
  <c r="F29" i="2"/>
  <c r="F28" i="2"/>
  <c r="F35" i="2"/>
  <c r="F34" i="2"/>
  <c r="F33" i="2"/>
  <c r="F32" i="2"/>
  <c r="F31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<sst xmlns="http://schemas.openxmlformats.org/spreadsheetml/2006/main" count="257" uniqueCount="33">
  <si>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</si>
  <si>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</si>
  <si>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</si>
  <si>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</si>
  <si>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</si>
  <si>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</si>
  <si>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</si>
  <si>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</si>
  <si>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</si>
  <si>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</si>
  <si>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</si>
  <si>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</si>
  <si>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</si>
  <si>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</si>
  <si>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</si>
  <si>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</si>
  <si>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</si>
  <si>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</si>
  <si>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</si>
  <si>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</si>
  <si>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</si>
  <si>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</si>
  <si>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</si>
  <si>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</si>
  <si>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</si>
  <si>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</si>
  <si>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</si>
  <si>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</si>
  <si>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</si>
  <si>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</si>
  <si>
    <t>Delta_t</t>
  </si>
  <si>
    <t>Heptano;Eicosano</t>
  </si>
  <si>
    <t>0,7248;0,00;0,1513;0,1239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</si>
</sst>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00000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V167"/>
  <sheetViews>
    <sheetView topLeftCell="A36" zoomScaleNormal="100" workbookViewId="0">
      <selection activeCell="E61" sqref="E61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5.88671875" customWidth="1"/>
    <col min="15" max="15" width="8" bestFit="1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22" t="s">
        <v>18</v>
      </c>
      <c r="C1" s="22"/>
      <c r="D1" s="22"/>
      <c r="E1" s="23"/>
      <c r="F1" s="24" t="s">
        <v>12</v>
      </c>
      <c r="G1" s="22"/>
      <c r="H1" s="22"/>
      <c r="I1" s="22"/>
      <c r="J1" s="23"/>
      <c r="K1" s="24" t="s">
        <v>0</v>
      </c>
      <c r="L1" s="22"/>
      <c r="M1" s="22"/>
      <c r="N1" s="22"/>
      <c r="O1" s="22"/>
      <c r="P1" s="22"/>
      <c r="Q1" s="23"/>
      <c r="R1" s="24" t="s">
        <v>7</v>
      </c>
      <c r="S1" s="22"/>
      <c r="T1" s="22"/>
      <c r="U1" s="23"/>
    </row>
    <row r="2" spans="1:21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19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19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19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19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19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19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19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19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19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19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ref="F13:F21" si="1">(0.0001451)/2</f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18</v>
      </c>
      <c r="L13" s="4">
        <v>4</v>
      </c>
      <c r="M13" s="4">
        <v>3</v>
      </c>
      <c r="N13" s="4">
        <v>1.0000000000000001E-9</v>
      </c>
      <c r="O13" s="4">
        <v>10</v>
      </c>
      <c r="P13" s="4">
        <v>1</v>
      </c>
      <c r="Q13" s="16">
        <v>5.0000000000000002E-5</v>
      </c>
      <c r="R13" s="7">
        <v>0</v>
      </c>
      <c r="S13" s="4">
        <v>1</v>
      </c>
      <c r="T13" s="4">
        <v>500</v>
      </c>
      <c r="U13" s="8">
        <v>2</v>
      </c>
    </row>
    <row r="14" spans="1:21" x14ac:dyDescent="0.3">
      <c r="A14" s="19">
        <v>2102</v>
      </c>
      <c r="B14" s="14" t="s">
        <v>27</v>
      </c>
      <c r="C14" s="4" t="s">
        <v>28</v>
      </c>
      <c r="D14" s="15" t="s">
        <v>25</v>
      </c>
      <c r="E14" s="8" t="s">
        <v>26</v>
      </c>
      <c r="F14" s="7">
        <f t="shared" si="1"/>
        <v>7.2550000000000002E-5</v>
      </c>
      <c r="G14" s="4">
        <v>150</v>
      </c>
      <c r="H14" s="4">
        <v>0.15</v>
      </c>
      <c r="I14" s="4">
        <v>303</v>
      </c>
      <c r="J14" s="8">
        <v>1730</v>
      </c>
      <c r="K14" s="7">
        <v>36</v>
      </c>
      <c r="L14" s="4">
        <v>2</v>
      </c>
      <c r="M14" s="4">
        <v>3</v>
      </c>
      <c r="N14" s="4">
        <v>1.0000000000000001E-9</v>
      </c>
      <c r="O14" s="4">
        <v>10</v>
      </c>
      <c r="P14" s="4">
        <v>1</v>
      </c>
      <c r="Q14" s="16">
        <v>5.0000000000000002E-5</v>
      </c>
      <c r="R14" s="7">
        <v>0</v>
      </c>
      <c r="S14" s="4">
        <v>1</v>
      </c>
      <c r="T14" s="4">
        <v>500</v>
      </c>
      <c r="U14" s="8">
        <v>2</v>
      </c>
    </row>
    <row r="15" spans="1:21" x14ac:dyDescent="0.3">
      <c r="A15" s="19">
        <v>2103</v>
      </c>
      <c r="B15" s="14" t="s">
        <v>27</v>
      </c>
      <c r="C15" s="4" t="s">
        <v>28</v>
      </c>
      <c r="D15" s="15" t="s">
        <v>25</v>
      </c>
      <c r="E15" s="8" t="s">
        <v>26</v>
      </c>
      <c r="F15" s="7">
        <f t="shared" si="1"/>
        <v>7.2550000000000002E-5</v>
      </c>
      <c r="G15" s="4">
        <v>150</v>
      </c>
      <c r="H15" s="4">
        <v>0.15</v>
      </c>
      <c r="I15" s="4">
        <v>303</v>
      </c>
      <c r="J15" s="8">
        <v>1730</v>
      </c>
      <c r="K15" s="7">
        <v>72</v>
      </c>
      <c r="L15" s="4">
        <v>1</v>
      </c>
      <c r="M15" s="4">
        <v>3</v>
      </c>
      <c r="N15" s="4">
        <v>1.0000000000000001E-9</v>
      </c>
      <c r="O15" s="4">
        <v>10</v>
      </c>
      <c r="P15" s="4">
        <v>1</v>
      </c>
      <c r="Q15" s="16">
        <v>5.0000000000000002E-5</v>
      </c>
      <c r="R15" s="7">
        <v>0</v>
      </c>
      <c r="S15" s="4">
        <v>1</v>
      </c>
      <c r="T15" s="4">
        <v>500</v>
      </c>
      <c r="U15" s="8">
        <v>2</v>
      </c>
    </row>
    <row r="16" spans="1:21" x14ac:dyDescent="0.3">
      <c r="A16" s="19">
        <v>2104</v>
      </c>
      <c r="B16" s="14" t="s">
        <v>27</v>
      </c>
      <c r="C16" s="4" t="s">
        <v>28</v>
      </c>
      <c r="D16" s="15" t="s">
        <v>25</v>
      </c>
      <c r="E16" s="8" t="s">
        <v>26</v>
      </c>
      <c r="F16" s="7">
        <f t="shared" si="1"/>
        <v>7.2550000000000002E-5</v>
      </c>
      <c r="G16" s="4">
        <v>150</v>
      </c>
      <c r="H16" s="4">
        <v>0.15</v>
      </c>
      <c r="I16" s="4">
        <v>303</v>
      </c>
      <c r="J16" s="8">
        <v>1730</v>
      </c>
      <c r="K16" s="7">
        <v>18</v>
      </c>
      <c r="L16" s="4">
        <v>4</v>
      </c>
      <c r="M16" s="4">
        <v>5</v>
      </c>
      <c r="N16" s="4">
        <v>1.0000000000000001E-9</v>
      </c>
      <c r="O16" s="4">
        <v>10</v>
      </c>
      <c r="P16" s="4">
        <v>1</v>
      </c>
      <c r="Q16" s="16">
        <v>5.0000000000000002E-5</v>
      </c>
      <c r="R16" s="7">
        <v>0</v>
      </c>
      <c r="S16" s="4">
        <v>1</v>
      </c>
      <c r="T16" s="4">
        <v>500</v>
      </c>
      <c r="U16" s="8">
        <v>2</v>
      </c>
    </row>
    <row r="17" spans="1:21" x14ac:dyDescent="0.3">
      <c r="A17" s="19">
        <v>2105</v>
      </c>
      <c r="B17" s="14" t="s">
        <v>27</v>
      </c>
      <c r="C17" s="4" t="s">
        <v>28</v>
      </c>
      <c r="D17" s="15" t="s">
        <v>25</v>
      </c>
      <c r="E17" s="8" t="s">
        <v>26</v>
      </c>
      <c r="F17" s="7">
        <f t="shared" si="1"/>
        <v>7.2550000000000002E-5</v>
      </c>
      <c r="G17" s="4">
        <v>150</v>
      </c>
      <c r="H17" s="4">
        <v>0.15</v>
      </c>
      <c r="I17" s="4">
        <v>303</v>
      </c>
      <c r="J17" s="8">
        <v>1730</v>
      </c>
      <c r="K17" s="7">
        <v>36</v>
      </c>
      <c r="L17" s="4">
        <v>2</v>
      </c>
      <c r="M17" s="4">
        <v>5</v>
      </c>
      <c r="N17" s="4">
        <v>1.0000000000000001E-9</v>
      </c>
      <c r="O17" s="4">
        <v>10</v>
      </c>
      <c r="P17" s="4">
        <v>1</v>
      </c>
      <c r="Q17" s="16">
        <v>5.0000000000000002E-5</v>
      </c>
      <c r="R17" s="7">
        <v>0</v>
      </c>
      <c r="S17" s="4">
        <v>1</v>
      </c>
      <c r="T17" s="4">
        <v>500</v>
      </c>
      <c r="U17" s="8">
        <v>2</v>
      </c>
    </row>
    <row r="18" spans="1:21" x14ac:dyDescent="0.3">
      <c r="A18" s="19">
        <v>2106</v>
      </c>
      <c r="B18" s="14" t="s">
        <v>27</v>
      </c>
      <c r="C18" s="4" t="s">
        <v>28</v>
      </c>
      <c r="D18" s="15" t="s">
        <v>25</v>
      </c>
      <c r="E18" s="8" t="s">
        <v>26</v>
      </c>
      <c r="F18" s="7">
        <f t="shared" si="1"/>
        <v>7.2550000000000002E-5</v>
      </c>
      <c r="G18" s="4">
        <v>150</v>
      </c>
      <c r="H18" s="4">
        <v>0.15</v>
      </c>
      <c r="I18" s="4">
        <v>303</v>
      </c>
      <c r="J18" s="8">
        <v>1730</v>
      </c>
      <c r="K18" s="7">
        <v>72</v>
      </c>
      <c r="L18" s="4">
        <v>1</v>
      </c>
      <c r="M18" s="4">
        <v>5</v>
      </c>
      <c r="N18" s="4">
        <v>1.0000000000000001E-9</v>
      </c>
      <c r="O18" s="4">
        <v>10</v>
      </c>
      <c r="P18" s="4">
        <v>1</v>
      </c>
      <c r="Q18" s="16">
        <v>5.0000000000000002E-5</v>
      </c>
      <c r="R18" s="7">
        <v>0</v>
      </c>
      <c r="S18" s="4">
        <v>1</v>
      </c>
      <c r="T18" s="4">
        <v>500</v>
      </c>
      <c r="U18" s="8">
        <v>2</v>
      </c>
    </row>
    <row r="19" spans="1:21" x14ac:dyDescent="0.3">
      <c r="A19" s="19">
        <v>2107</v>
      </c>
      <c r="B19" s="14" t="s">
        <v>27</v>
      </c>
      <c r="C19" s="4" t="s">
        <v>28</v>
      </c>
      <c r="D19" s="15" t="s">
        <v>25</v>
      </c>
      <c r="E19" s="8" t="s">
        <v>26</v>
      </c>
      <c r="F19" s="7">
        <f t="shared" si="1"/>
        <v>7.2550000000000002E-5</v>
      </c>
      <c r="G19" s="4">
        <v>150</v>
      </c>
      <c r="H19" s="4">
        <v>0.15</v>
      </c>
      <c r="I19" s="4">
        <v>303</v>
      </c>
      <c r="J19" s="8">
        <v>1730</v>
      </c>
      <c r="K19" s="7">
        <v>18</v>
      </c>
      <c r="L19" s="4">
        <v>4</v>
      </c>
      <c r="M19" s="4">
        <v>7</v>
      </c>
      <c r="N19" s="4">
        <v>1.0000000000000001E-9</v>
      </c>
      <c r="O19" s="4">
        <v>10</v>
      </c>
      <c r="P19" s="4">
        <v>1</v>
      </c>
      <c r="Q19" s="16">
        <v>5.0000000000000002E-5</v>
      </c>
      <c r="R19" s="7">
        <v>0</v>
      </c>
      <c r="S19" s="4">
        <v>1</v>
      </c>
      <c r="T19" s="4">
        <v>500</v>
      </c>
      <c r="U19" s="8">
        <v>2</v>
      </c>
    </row>
    <row r="20" spans="1:21" x14ac:dyDescent="0.3">
      <c r="A20" s="19">
        <v>2108</v>
      </c>
      <c r="B20" s="14" t="s">
        <v>27</v>
      </c>
      <c r="C20" s="4" t="s">
        <v>28</v>
      </c>
      <c r="D20" s="15" t="s">
        <v>25</v>
      </c>
      <c r="E20" s="8" t="s">
        <v>26</v>
      </c>
      <c r="F20" s="7">
        <f t="shared" si="1"/>
        <v>7.2550000000000002E-5</v>
      </c>
      <c r="G20" s="4">
        <v>150</v>
      </c>
      <c r="H20" s="4">
        <v>0.15</v>
      </c>
      <c r="I20" s="4">
        <v>303</v>
      </c>
      <c r="J20" s="8">
        <v>1730</v>
      </c>
      <c r="K20" s="7">
        <v>36</v>
      </c>
      <c r="L20" s="4">
        <v>2</v>
      </c>
      <c r="M20" s="4">
        <v>7</v>
      </c>
      <c r="N20" s="4">
        <v>1.0000000000000001E-9</v>
      </c>
      <c r="O20" s="4">
        <v>10</v>
      </c>
      <c r="P20" s="4">
        <v>1</v>
      </c>
      <c r="Q20" s="16">
        <v>5.0000000000000002E-5</v>
      </c>
      <c r="R20" s="7">
        <v>0</v>
      </c>
      <c r="S20" s="4">
        <v>1</v>
      </c>
      <c r="T20" s="4">
        <v>500</v>
      </c>
      <c r="U20" s="8">
        <v>2</v>
      </c>
    </row>
    <row r="21" spans="1:21" x14ac:dyDescent="0.3">
      <c r="A21" s="20">
        <v>2109</v>
      </c>
      <c r="B21" s="14" t="s">
        <v>27</v>
      </c>
      <c r="C21" s="4" t="s">
        <v>28</v>
      </c>
      <c r="D21" s="15" t="s">
        <v>25</v>
      </c>
      <c r="E21" s="8" t="s">
        <v>26</v>
      </c>
      <c r="F21" s="7">
        <f t="shared" si="1"/>
        <v>7.2550000000000002E-5</v>
      </c>
      <c r="G21" s="4">
        <v>150</v>
      </c>
      <c r="H21" s="4">
        <v>0.15</v>
      </c>
      <c r="I21" s="4">
        <v>303</v>
      </c>
      <c r="J21" s="8">
        <v>1730</v>
      </c>
      <c r="K21" s="7">
        <v>72</v>
      </c>
      <c r="L21" s="4">
        <v>1</v>
      </c>
      <c r="M21" s="4">
        <v>7</v>
      </c>
      <c r="N21" s="4">
        <v>1.0000000000000001E-9</v>
      </c>
      <c r="O21" s="4">
        <v>10</v>
      </c>
      <c r="P21" s="4">
        <v>1</v>
      </c>
      <c r="Q21" s="16">
        <v>5.0000000000000002E-5</v>
      </c>
      <c r="R21" s="7">
        <v>0</v>
      </c>
      <c r="S21" s="4">
        <v>1</v>
      </c>
      <c r="T21" s="4">
        <v>500</v>
      </c>
      <c r="U21" s="8">
        <v>2</v>
      </c>
    </row>
    <row r="23" spans="1:21" x14ac:dyDescent="0.3">
      <c r="A23" s="18">
        <v>3101</v>
      </c>
      <c r="B23" s="14" t="s">
        <v>27</v>
      </c>
      <c r="C23" s="4" t="s">
        <v>28</v>
      </c>
      <c r="D23" s="15" t="s">
        <v>25</v>
      </c>
      <c r="E23" s="8" t="s">
        <v>26</v>
      </c>
      <c r="F23" s="7">
        <f t="shared" ref="F23:F48" si="2">(0.0001451)/2</f>
        <v>7.2550000000000002E-5</v>
      </c>
      <c r="G23" s="4">
        <v>150</v>
      </c>
      <c r="H23" s="4">
        <v>0.15</v>
      </c>
      <c r="I23" s="4">
        <v>303</v>
      </c>
      <c r="J23" s="8">
        <v>1730</v>
      </c>
      <c r="K23" s="7">
        <v>5</v>
      </c>
      <c r="L23" s="4">
        <v>16</v>
      </c>
      <c r="M23" s="4">
        <v>3</v>
      </c>
      <c r="N23" s="4">
        <v>1E-8</v>
      </c>
      <c r="O23" s="4">
        <v>1.0000000000000001E-5</v>
      </c>
      <c r="P23" s="4">
        <v>0</v>
      </c>
      <c r="Q23" s="16">
        <v>1.0000000000000001E-5</v>
      </c>
      <c r="R23" s="7">
        <v>0</v>
      </c>
      <c r="S23" s="4">
        <v>1</v>
      </c>
      <c r="T23" s="4">
        <v>500</v>
      </c>
      <c r="U23" s="8">
        <v>2</v>
      </c>
    </row>
    <row r="24" spans="1:21" x14ac:dyDescent="0.3">
      <c r="A24" s="18">
        <v>3102</v>
      </c>
      <c r="B24" s="14" t="s">
        <v>27</v>
      </c>
      <c r="C24" s="4" t="s">
        <v>28</v>
      </c>
      <c r="D24" s="15" t="s">
        <v>25</v>
      </c>
      <c r="E24" s="8" t="s">
        <v>26</v>
      </c>
      <c r="F24" s="7">
        <f t="shared" si="2"/>
        <v>7.2550000000000002E-5</v>
      </c>
      <c r="G24" s="4">
        <v>150</v>
      </c>
      <c r="H24" s="4">
        <v>0.15</v>
      </c>
      <c r="I24" s="4">
        <v>303</v>
      </c>
      <c r="J24" s="8">
        <v>1730</v>
      </c>
      <c r="K24" s="7">
        <v>10</v>
      </c>
      <c r="L24" s="4">
        <v>8</v>
      </c>
      <c r="M24" s="4">
        <v>3</v>
      </c>
      <c r="N24" s="4">
        <v>1E-8</v>
      </c>
      <c r="O24" s="4">
        <v>1.0000000000000001E-5</v>
      </c>
      <c r="P24" s="4">
        <v>0</v>
      </c>
      <c r="Q24" s="16">
        <v>1.0000000000000001E-5</v>
      </c>
      <c r="R24" s="7">
        <v>0</v>
      </c>
      <c r="S24" s="4">
        <v>1</v>
      </c>
      <c r="T24" s="4">
        <v>500</v>
      </c>
      <c r="U24" s="8">
        <v>2</v>
      </c>
    </row>
    <row r="25" spans="1:21" x14ac:dyDescent="0.3">
      <c r="A25" s="19">
        <v>3103</v>
      </c>
      <c r="B25" s="14" t="s">
        <v>27</v>
      </c>
      <c r="C25" s="4" t="s">
        <v>28</v>
      </c>
      <c r="D25" s="15" t="s">
        <v>25</v>
      </c>
      <c r="E25" s="8" t="s">
        <v>26</v>
      </c>
      <c r="F25" s="7">
        <f t="shared" si="2"/>
        <v>7.2550000000000002E-5</v>
      </c>
      <c r="G25" s="4">
        <v>150</v>
      </c>
      <c r="H25" s="4">
        <v>0.15</v>
      </c>
      <c r="I25" s="4">
        <v>303</v>
      </c>
      <c r="J25" s="8">
        <v>1730</v>
      </c>
      <c r="K25" s="7">
        <v>20</v>
      </c>
      <c r="L25" s="4">
        <v>4</v>
      </c>
      <c r="M25" s="4">
        <v>3</v>
      </c>
      <c r="N25" s="4">
        <v>1E-8</v>
      </c>
      <c r="O25" s="4">
        <v>1.0000000000000001E-5</v>
      </c>
      <c r="P25" s="4">
        <v>0</v>
      </c>
      <c r="Q25" s="16">
        <v>1.0000000000000001E-5</v>
      </c>
      <c r="R25" s="7">
        <v>0</v>
      </c>
      <c r="S25" s="4">
        <v>1</v>
      </c>
      <c r="T25" s="4">
        <v>500</v>
      </c>
      <c r="U25" s="8">
        <v>2</v>
      </c>
    </row>
    <row r="26" spans="1:21" x14ac:dyDescent="0.3">
      <c r="A26" s="19">
        <v>3104</v>
      </c>
      <c r="B26" s="14" t="s">
        <v>27</v>
      </c>
      <c r="C26" s="4" t="s">
        <v>28</v>
      </c>
      <c r="D26" s="15" t="s">
        <v>25</v>
      </c>
      <c r="E26" s="8" t="s">
        <v>26</v>
      </c>
      <c r="F26" s="7">
        <f t="shared" si="2"/>
        <v>7.2550000000000002E-5</v>
      </c>
      <c r="G26" s="4">
        <v>150</v>
      </c>
      <c r="H26" s="4">
        <v>0.15</v>
      </c>
      <c r="I26" s="4">
        <v>303</v>
      </c>
      <c r="J26" s="8">
        <v>1730</v>
      </c>
      <c r="K26" s="7">
        <v>40</v>
      </c>
      <c r="L26" s="4">
        <v>2</v>
      </c>
      <c r="M26" s="4">
        <v>3</v>
      </c>
      <c r="N26" s="4">
        <v>1E-8</v>
      </c>
      <c r="O26" s="4">
        <v>1.0000000000000001E-5</v>
      </c>
      <c r="P26" s="4">
        <v>0</v>
      </c>
      <c r="Q26" s="16">
        <v>1.0000000000000001E-5</v>
      </c>
      <c r="R26" s="7">
        <v>0</v>
      </c>
      <c r="S26" s="4">
        <v>1</v>
      </c>
      <c r="T26" s="4">
        <v>500</v>
      </c>
      <c r="U26" s="8">
        <v>2</v>
      </c>
    </row>
    <row r="27" spans="1:21" x14ac:dyDescent="0.3">
      <c r="A27" s="19">
        <v>3105</v>
      </c>
      <c r="B27" s="14" t="s">
        <v>27</v>
      </c>
      <c r="C27" s="4" t="s">
        <v>28</v>
      </c>
      <c r="D27" s="15" t="s">
        <v>25</v>
      </c>
      <c r="E27" s="8" t="s">
        <v>26</v>
      </c>
      <c r="F27" s="7">
        <f t="shared" si="2"/>
        <v>7.2550000000000002E-5</v>
      </c>
      <c r="G27" s="4">
        <v>150</v>
      </c>
      <c r="H27" s="4">
        <v>0.15</v>
      </c>
      <c r="I27" s="4">
        <v>303</v>
      </c>
      <c r="J27" s="8">
        <v>1730</v>
      </c>
      <c r="K27" s="7">
        <v>80</v>
      </c>
      <c r="L27" s="4">
        <v>1</v>
      </c>
      <c r="M27" s="4">
        <v>3</v>
      </c>
      <c r="N27" s="4">
        <v>1E-8</v>
      </c>
      <c r="O27" s="4">
        <v>1.0000000000000001E-5</v>
      </c>
      <c r="P27" s="4">
        <v>0</v>
      </c>
      <c r="Q27" s="16">
        <v>1.0000000000000001E-5</v>
      </c>
      <c r="R27" s="7">
        <v>0</v>
      </c>
      <c r="S27" s="4">
        <v>1</v>
      </c>
      <c r="T27" s="4">
        <v>500</v>
      </c>
      <c r="U27" s="8">
        <v>2</v>
      </c>
    </row>
    <row r="28" spans="1:21" x14ac:dyDescent="0.3">
      <c r="A28" s="18">
        <v>31012</v>
      </c>
      <c r="B28" s="14" t="s">
        <v>27</v>
      </c>
      <c r="C28" s="4" t="s">
        <v>28</v>
      </c>
      <c r="D28" s="15" t="s">
        <v>25</v>
      </c>
      <c r="E28" s="8" t="s">
        <v>26</v>
      </c>
      <c r="F28" s="7">
        <f t="shared" si="2"/>
        <v>7.2550000000000002E-5</v>
      </c>
      <c r="G28" s="4">
        <v>150</v>
      </c>
      <c r="H28" s="4">
        <v>0.15</v>
      </c>
      <c r="I28" s="4">
        <v>303</v>
      </c>
      <c r="J28" s="8">
        <v>1730</v>
      </c>
      <c r="K28" s="7">
        <v>5</v>
      </c>
      <c r="L28" s="4">
        <v>16</v>
      </c>
      <c r="M28" s="4">
        <v>3</v>
      </c>
      <c r="N28" s="4">
        <v>1.0000000000000001E-9</v>
      </c>
      <c r="O28" s="4">
        <v>1.0000000000000001E-5</v>
      </c>
      <c r="P28" s="4">
        <v>0</v>
      </c>
      <c r="Q28" s="16">
        <v>1.0000000000000001E-5</v>
      </c>
      <c r="R28" s="7">
        <v>0</v>
      </c>
      <c r="S28" s="4">
        <v>1</v>
      </c>
      <c r="T28" s="4">
        <v>500</v>
      </c>
      <c r="U28" s="8">
        <v>2</v>
      </c>
    </row>
    <row r="29" spans="1:21" x14ac:dyDescent="0.3">
      <c r="A29" s="18">
        <v>31022</v>
      </c>
      <c r="B29" s="14" t="s">
        <v>27</v>
      </c>
      <c r="C29" s="4" t="s">
        <v>28</v>
      </c>
      <c r="D29" s="15" t="s">
        <v>25</v>
      </c>
      <c r="E29" s="8" t="s">
        <v>26</v>
      </c>
      <c r="F29" s="7">
        <f t="shared" si="2"/>
        <v>7.2550000000000002E-5</v>
      </c>
      <c r="G29" s="4">
        <v>150</v>
      </c>
      <c r="H29" s="4">
        <v>0.15</v>
      </c>
      <c r="I29" s="4">
        <v>303</v>
      </c>
      <c r="J29" s="8">
        <v>1730</v>
      </c>
      <c r="K29" s="7">
        <v>10</v>
      </c>
      <c r="L29" s="4">
        <v>8</v>
      </c>
      <c r="M29" s="4">
        <v>3</v>
      </c>
      <c r="N29" s="4">
        <v>1.0000000000000001E-9</v>
      </c>
      <c r="O29" s="4">
        <v>1.0000000000000001E-5</v>
      </c>
      <c r="P29" s="4">
        <v>0</v>
      </c>
      <c r="Q29" s="16">
        <v>1.0000000000000001E-5</v>
      </c>
      <c r="R29" s="7">
        <v>0</v>
      </c>
      <c r="S29" s="4">
        <v>1</v>
      </c>
      <c r="T29" s="4">
        <v>500</v>
      </c>
      <c r="U29" s="8">
        <v>2</v>
      </c>
    </row>
    <row r="31" spans="1:21" x14ac:dyDescent="0.3">
      <c r="A31" s="19">
        <v>4101</v>
      </c>
      <c r="B31" s="14" t="s">
        <v>27</v>
      </c>
      <c r="C31" s="4" t="s">
        <v>28</v>
      </c>
      <c r="D31" s="15" t="s">
        <v>25</v>
      </c>
      <c r="E31" s="8" t="s">
        <v>26</v>
      </c>
      <c r="F31" s="7">
        <f t="shared" si="2"/>
        <v>7.2550000000000002E-5</v>
      </c>
      <c r="G31" s="4">
        <v>150</v>
      </c>
      <c r="H31" s="4">
        <v>0.15</v>
      </c>
      <c r="I31" s="4">
        <v>303</v>
      </c>
      <c r="J31" s="8">
        <v>1730</v>
      </c>
      <c r="K31" s="7">
        <v>50</v>
      </c>
      <c r="L31" s="4">
        <v>1</v>
      </c>
      <c r="M31" s="4">
        <v>8</v>
      </c>
      <c r="N31" s="4">
        <v>4.9999999999999998E-8</v>
      </c>
      <c r="O31" s="4">
        <v>1.0000000000000001E-5</v>
      </c>
      <c r="P31" s="4">
        <v>0</v>
      </c>
      <c r="Q31" s="16">
        <v>1.0000000000000001E-5</v>
      </c>
      <c r="R31" s="7">
        <v>0</v>
      </c>
      <c r="S31" s="4">
        <v>1</v>
      </c>
      <c r="T31" s="4">
        <v>500</v>
      </c>
      <c r="U31" s="8">
        <v>2</v>
      </c>
    </row>
    <row r="32" spans="1:21" x14ac:dyDescent="0.3">
      <c r="A32" s="19">
        <v>4102</v>
      </c>
      <c r="B32" s="14" t="s">
        <v>27</v>
      </c>
      <c r="C32" s="4" t="s">
        <v>28</v>
      </c>
      <c r="D32" s="15" t="s">
        <v>25</v>
      </c>
      <c r="E32" s="8" t="s">
        <v>26</v>
      </c>
      <c r="F32" s="7">
        <f t="shared" si="2"/>
        <v>7.2550000000000002E-5</v>
      </c>
      <c r="G32" s="4">
        <v>150</v>
      </c>
      <c r="H32" s="4">
        <v>0.15</v>
      </c>
      <c r="I32" s="4">
        <v>303</v>
      </c>
      <c r="J32" s="8">
        <v>1730</v>
      </c>
      <c r="K32" s="7">
        <v>50</v>
      </c>
      <c r="L32" s="4">
        <v>1</v>
      </c>
      <c r="M32" s="4">
        <v>8</v>
      </c>
      <c r="N32" s="4">
        <v>2.4999999999999999E-8</v>
      </c>
      <c r="O32" s="4">
        <v>1.0000000000000001E-5</v>
      </c>
      <c r="P32" s="4">
        <v>0</v>
      </c>
      <c r="Q32" s="16">
        <v>1.0000000000000001E-5</v>
      </c>
      <c r="R32" s="7">
        <v>0</v>
      </c>
      <c r="S32" s="4">
        <v>1</v>
      </c>
      <c r="T32" s="4">
        <v>500</v>
      </c>
      <c r="U32" s="8">
        <v>2</v>
      </c>
    </row>
    <row r="33" spans="1:22" x14ac:dyDescent="0.3">
      <c r="A33" s="19">
        <v>4103</v>
      </c>
      <c r="B33" s="14" t="s">
        <v>27</v>
      </c>
      <c r="C33" s="4" t="s">
        <v>28</v>
      </c>
      <c r="D33" s="15" t="s">
        <v>25</v>
      </c>
      <c r="E33" s="8" t="s">
        <v>26</v>
      </c>
      <c r="F33" s="7">
        <f t="shared" si="2"/>
        <v>7.2550000000000002E-5</v>
      </c>
      <c r="G33" s="4">
        <v>150</v>
      </c>
      <c r="H33" s="4">
        <v>0.15</v>
      </c>
      <c r="I33" s="4">
        <v>303</v>
      </c>
      <c r="J33" s="8">
        <v>1730</v>
      </c>
      <c r="K33" s="7">
        <v>50</v>
      </c>
      <c r="L33" s="4">
        <v>1</v>
      </c>
      <c r="M33" s="4">
        <v>8</v>
      </c>
      <c r="N33" s="17">
        <v>1.2499999999999999E-8</v>
      </c>
      <c r="O33" s="4">
        <v>1.0000000000000001E-5</v>
      </c>
      <c r="P33" s="4">
        <v>0</v>
      </c>
      <c r="Q33" s="16">
        <v>1.0000000000000001E-5</v>
      </c>
      <c r="R33" s="7">
        <v>0</v>
      </c>
      <c r="S33" s="4">
        <v>1</v>
      </c>
      <c r="T33" s="4">
        <v>500</v>
      </c>
      <c r="U33" s="8">
        <v>2</v>
      </c>
    </row>
    <row r="34" spans="1:22" x14ac:dyDescent="0.3">
      <c r="A34" s="19">
        <v>4104</v>
      </c>
      <c r="B34" s="14" t="s">
        <v>27</v>
      </c>
      <c r="C34" s="4" t="s">
        <v>28</v>
      </c>
      <c r="D34" s="15" t="s">
        <v>25</v>
      </c>
      <c r="E34" s="8" t="s">
        <v>26</v>
      </c>
      <c r="F34" s="7">
        <f t="shared" si="2"/>
        <v>7.2550000000000002E-5</v>
      </c>
      <c r="G34" s="4">
        <v>150</v>
      </c>
      <c r="H34" s="4">
        <v>0.15</v>
      </c>
      <c r="I34" s="4">
        <v>303</v>
      </c>
      <c r="J34" s="8">
        <v>1730</v>
      </c>
      <c r="K34" s="7">
        <v>50</v>
      </c>
      <c r="L34" s="4">
        <v>1</v>
      </c>
      <c r="M34" s="4">
        <v>8</v>
      </c>
      <c r="N34" s="17">
        <v>6.2499999999999997E-9</v>
      </c>
      <c r="O34" s="4">
        <v>1.0000000000000001E-5</v>
      </c>
      <c r="P34" s="4">
        <v>0</v>
      </c>
      <c r="Q34" s="16">
        <v>1.0000000000000001E-5</v>
      </c>
      <c r="R34" s="7">
        <v>0</v>
      </c>
      <c r="S34" s="4">
        <v>1</v>
      </c>
      <c r="T34" s="4">
        <v>500</v>
      </c>
      <c r="U34" s="8">
        <v>2</v>
      </c>
    </row>
    <row r="35" spans="1:22" x14ac:dyDescent="0.3">
      <c r="A35" s="19">
        <v>4105</v>
      </c>
      <c r="B35" s="14" t="s">
        <v>27</v>
      </c>
      <c r="C35" s="4" t="s">
        <v>28</v>
      </c>
      <c r="D35" s="15" t="s">
        <v>25</v>
      </c>
      <c r="E35" s="8" t="s">
        <v>26</v>
      </c>
      <c r="F35" s="7">
        <f t="shared" si="2"/>
        <v>7.2550000000000002E-5</v>
      </c>
      <c r="G35" s="4">
        <v>150</v>
      </c>
      <c r="H35" s="4">
        <v>0.15</v>
      </c>
      <c r="I35" s="4">
        <v>303</v>
      </c>
      <c r="J35" s="8">
        <v>1730</v>
      </c>
      <c r="K35" s="7">
        <v>50</v>
      </c>
      <c r="L35" s="4">
        <v>1</v>
      </c>
      <c r="M35" s="4">
        <v>8</v>
      </c>
      <c r="N35" s="17">
        <v>3.1249999999999999E-9</v>
      </c>
      <c r="O35" s="4">
        <v>1.0000000000000001E-5</v>
      </c>
      <c r="P35" s="4">
        <v>0</v>
      </c>
      <c r="Q35" s="16">
        <v>1.0000000000000001E-5</v>
      </c>
      <c r="R35" s="7">
        <v>0</v>
      </c>
      <c r="S35" s="4">
        <v>1</v>
      </c>
      <c r="T35" s="4">
        <v>500</v>
      </c>
      <c r="U35" s="8">
        <v>2</v>
      </c>
    </row>
    <row r="36" spans="1:22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2" x14ac:dyDescent="0.3">
      <c r="A37" s="5">
        <v>5101</v>
      </c>
      <c r="B37" s="14" t="s">
        <v>27</v>
      </c>
      <c r="C37" s="4" t="s">
        <v>28</v>
      </c>
      <c r="D37" s="15" t="s">
        <v>25</v>
      </c>
      <c r="E37" s="8" t="s">
        <v>26</v>
      </c>
      <c r="F37" s="7">
        <f t="shared" si="2"/>
        <v>7.2550000000000002E-5</v>
      </c>
      <c r="G37" s="4">
        <v>150</v>
      </c>
      <c r="H37" s="4">
        <v>0.15</v>
      </c>
      <c r="I37" s="4">
        <v>303</v>
      </c>
      <c r="J37" s="8">
        <v>1730</v>
      </c>
      <c r="K37" s="7">
        <v>15</v>
      </c>
      <c r="L37" s="4">
        <v>4</v>
      </c>
      <c r="M37" s="4">
        <v>3</v>
      </c>
      <c r="N37" s="4">
        <v>1E-8</v>
      </c>
      <c r="O37" s="4">
        <v>1E-4</v>
      </c>
      <c r="P37" s="4">
        <v>0</v>
      </c>
      <c r="Q37" s="16">
        <v>1.0000000000000001E-5</v>
      </c>
      <c r="R37" s="7">
        <v>0</v>
      </c>
      <c r="S37" s="4">
        <v>1</v>
      </c>
      <c r="T37" s="4">
        <v>500</v>
      </c>
      <c r="U37" s="8">
        <v>2</v>
      </c>
    </row>
    <row r="38" spans="1:22" x14ac:dyDescent="0.3">
      <c r="A38" s="5">
        <v>5102</v>
      </c>
      <c r="B38" s="14" t="s">
        <v>27</v>
      </c>
      <c r="C38" s="4" t="s">
        <v>28</v>
      </c>
      <c r="D38" s="15" t="s">
        <v>25</v>
      </c>
      <c r="E38" s="8" t="s">
        <v>26</v>
      </c>
      <c r="F38" s="7">
        <f t="shared" si="2"/>
        <v>7.2550000000000002E-5</v>
      </c>
      <c r="G38" s="4">
        <v>150</v>
      </c>
      <c r="H38" s="4">
        <v>0.15</v>
      </c>
      <c r="I38" s="4">
        <v>303</v>
      </c>
      <c r="J38" s="8">
        <v>1730</v>
      </c>
      <c r="K38" s="7">
        <v>30</v>
      </c>
      <c r="L38" s="4">
        <v>2</v>
      </c>
      <c r="M38" s="4">
        <v>3</v>
      </c>
      <c r="N38" s="4">
        <v>1E-8</v>
      </c>
      <c r="O38" s="4">
        <v>1E-4</v>
      </c>
      <c r="P38" s="4">
        <v>0</v>
      </c>
      <c r="Q38" s="16">
        <v>1.0000000000000001E-5</v>
      </c>
      <c r="R38" s="7">
        <v>0</v>
      </c>
      <c r="S38" s="4">
        <v>1</v>
      </c>
      <c r="T38" s="4">
        <v>500</v>
      </c>
      <c r="U38" s="8">
        <v>2</v>
      </c>
    </row>
    <row r="39" spans="1:22" x14ac:dyDescent="0.3">
      <c r="A39" s="5">
        <v>5103</v>
      </c>
      <c r="B39" s="14" t="s">
        <v>27</v>
      </c>
      <c r="C39" s="4" t="s">
        <v>28</v>
      </c>
      <c r="D39" s="15" t="s">
        <v>25</v>
      </c>
      <c r="E39" s="8" t="s">
        <v>26</v>
      </c>
      <c r="F39" s="7">
        <f t="shared" si="2"/>
        <v>7.2550000000000002E-5</v>
      </c>
      <c r="G39" s="4">
        <v>150</v>
      </c>
      <c r="H39" s="4">
        <v>0.15</v>
      </c>
      <c r="I39" s="4">
        <v>303</v>
      </c>
      <c r="J39" s="8">
        <v>1730</v>
      </c>
      <c r="K39" s="7">
        <v>60</v>
      </c>
      <c r="L39" s="4">
        <v>1</v>
      </c>
      <c r="M39" s="4">
        <v>3</v>
      </c>
      <c r="N39" s="4">
        <v>1E-8</v>
      </c>
      <c r="O39" s="4">
        <v>1E-4</v>
      </c>
      <c r="P39" s="4">
        <v>0</v>
      </c>
      <c r="Q39" s="16">
        <v>1.0000000000000001E-5</v>
      </c>
      <c r="R39" s="7">
        <v>0</v>
      </c>
      <c r="S39" s="4">
        <v>1</v>
      </c>
      <c r="T39" s="4">
        <v>500</v>
      </c>
      <c r="U39" s="8">
        <v>2</v>
      </c>
    </row>
    <row r="40" spans="1:22" x14ac:dyDescent="0.3">
      <c r="A40" s="5">
        <v>5104</v>
      </c>
      <c r="B40" s="14" t="s">
        <v>27</v>
      </c>
      <c r="C40" s="4" t="s">
        <v>28</v>
      </c>
      <c r="D40" s="15" t="s">
        <v>25</v>
      </c>
      <c r="E40" s="8" t="s">
        <v>26</v>
      </c>
      <c r="F40" s="7">
        <f t="shared" si="2"/>
        <v>7.2550000000000002E-5</v>
      </c>
      <c r="G40" s="4">
        <v>150</v>
      </c>
      <c r="H40" s="4">
        <v>0.15</v>
      </c>
      <c r="I40" s="4">
        <v>303</v>
      </c>
      <c r="J40" s="8">
        <v>1730</v>
      </c>
      <c r="K40" s="7">
        <v>25</v>
      </c>
      <c r="L40" s="4">
        <v>4</v>
      </c>
      <c r="M40" s="4">
        <v>3</v>
      </c>
      <c r="N40" s="4">
        <v>1E-8</v>
      </c>
      <c r="O40" s="4">
        <v>1E-4</v>
      </c>
      <c r="P40" s="4">
        <v>0</v>
      </c>
      <c r="Q40" s="16">
        <v>1.0000000000000001E-5</v>
      </c>
      <c r="R40" s="7">
        <v>0</v>
      </c>
      <c r="S40" s="4">
        <v>1</v>
      </c>
      <c r="T40" s="4">
        <v>500</v>
      </c>
      <c r="U40" s="8">
        <v>2</v>
      </c>
    </row>
    <row r="41" spans="1:22" x14ac:dyDescent="0.3">
      <c r="A41" s="5">
        <v>5105</v>
      </c>
      <c r="B41" s="14" t="s">
        <v>27</v>
      </c>
      <c r="C41" s="4" t="s">
        <v>28</v>
      </c>
      <c r="D41" s="15" t="s">
        <v>25</v>
      </c>
      <c r="E41" s="8" t="s">
        <v>26</v>
      </c>
      <c r="F41" s="7">
        <f t="shared" si="2"/>
        <v>7.2550000000000002E-5</v>
      </c>
      <c r="G41" s="4">
        <v>150</v>
      </c>
      <c r="H41" s="4">
        <v>0.15</v>
      </c>
      <c r="I41" s="4">
        <v>303</v>
      </c>
      <c r="J41" s="8">
        <v>1730</v>
      </c>
      <c r="K41" s="7">
        <v>50</v>
      </c>
      <c r="L41" s="4">
        <v>2</v>
      </c>
      <c r="M41" s="4">
        <v>3</v>
      </c>
      <c r="N41" s="4">
        <v>1E-8</v>
      </c>
      <c r="O41" s="4">
        <v>1E-4</v>
      </c>
      <c r="P41" s="4">
        <v>0</v>
      </c>
      <c r="Q41" s="16">
        <v>1.0000000000000001E-5</v>
      </c>
      <c r="R41" s="7">
        <v>0</v>
      </c>
      <c r="S41" s="4">
        <v>1</v>
      </c>
      <c r="T41" s="4">
        <v>500</v>
      </c>
      <c r="U41" s="8">
        <v>2</v>
      </c>
    </row>
    <row r="42" spans="1:22" x14ac:dyDescent="0.3">
      <c r="A42" s="5">
        <v>5106</v>
      </c>
      <c r="B42" s="14" t="s">
        <v>27</v>
      </c>
      <c r="C42" s="4" t="s">
        <v>28</v>
      </c>
      <c r="D42" s="15" t="s">
        <v>25</v>
      </c>
      <c r="E42" s="8" t="s">
        <v>26</v>
      </c>
      <c r="F42" s="7">
        <f t="shared" si="2"/>
        <v>7.2550000000000002E-5</v>
      </c>
      <c r="G42" s="4">
        <v>150</v>
      </c>
      <c r="H42" s="4">
        <v>0.15</v>
      </c>
      <c r="I42" s="4">
        <v>303</v>
      </c>
      <c r="J42" s="8">
        <v>1730</v>
      </c>
      <c r="K42" s="7">
        <v>100</v>
      </c>
      <c r="L42" s="4">
        <v>1</v>
      </c>
      <c r="M42" s="4">
        <v>3</v>
      </c>
      <c r="N42" s="4">
        <v>1E-8</v>
      </c>
      <c r="O42" s="4">
        <v>1E-4</v>
      </c>
      <c r="P42" s="4">
        <v>0</v>
      </c>
      <c r="Q42" s="16">
        <v>1.0000000000000001E-5</v>
      </c>
      <c r="R42" s="7">
        <v>0</v>
      </c>
      <c r="S42" s="4">
        <v>1</v>
      </c>
      <c r="T42" s="4">
        <v>500</v>
      </c>
      <c r="U42" s="8">
        <v>2</v>
      </c>
    </row>
    <row r="43" spans="1:22" x14ac:dyDescent="0.3">
      <c r="V43" t="s">
        <v>30</v>
      </c>
    </row>
    <row r="44" spans="1:22" x14ac:dyDescent="0.3">
      <c r="A44" s="5">
        <v>6101</v>
      </c>
      <c r="B44" s="14" t="s">
        <v>27</v>
      </c>
      <c r="C44" s="4" t="s">
        <v>28</v>
      </c>
      <c r="D44" s="15" t="s">
        <v>25</v>
      </c>
      <c r="E44" s="8" t="s">
        <v>26</v>
      </c>
      <c r="F44" s="7">
        <f t="shared" si="2"/>
        <v>7.2550000000000002E-5</v>
      </c>
      <c r="G44" s="4">
        <v>150</v>
      </c>
      <c r="H44" s="4">
        <v>0.15</v>
      </c>
      <c r="I44" s="4">
        <v>303</v>
      </c>
      <c r="J44" s="8">
        <v>1730</v>
      </c>
      <c r="K44" s="7">
        <v>50</v>
      </c>
      <c r="L44" s="4">
        <v>1</v>
      </c>
      <c r="M44" s="4">
        <v>8</v>
      </c>
      <c r="N44" s="4">
        <v>4.9999999999999998E-8</v>
      </c>
      <c r="O44" s="4">
        <v>0.01</v>
      </c>
      <c r="P44" s="4">
        <v>1</v>
      </c>
      <c r="Q44" s="21">
        <v>1E-4</v>
      </c>
      <c r="R44" s="7">
        <v>0</v>
      </c>
      <c r="S44" s="4">
        <v>1</v>
      </c>
      <c r="T44" s="4">
        <v>500</v>
      </c>
      <c r="U44" s="8">
        <v>2</v>
      </c>
      <c r="V44" s="4">
        <v>2.0000000000000002E-5</v>
      </c>
    </row>
    <row r="45" spans="1:22" x14ac:dyDescent="0.3">
      <c r="A45" s="5">
        <v>6102</v>
      </c>
      <c r="B45" s="14" t="s">
        <v>27</v>
      </c>
      <c r="C45" s="4" t="s">
        <v>28</v>
      </c>
      <c r="D45" s="15" t="s">
        <v>25</v>
      </c>
      <c r="E45" s="8" t="s">
        <v>26</v>
      </c>
      <c r="F45" s="7">
        <f t="shared" si="2"/>
        <v>7.2550000000000002E-5</v>
      </c>
      <c r="G45" s="4">
        <v>150</v>
      </c>
      <c r="H45" s="4">
        <v>0.15</v>
      </c>
      <c r="I45" s="4">
        <v>303</v>
      </c>
      <c r="J45" s="8">
        <v>1730</v>
      </c>
      <c r="K45" s="7">
        <v>50</v>
      </c>
      <c r="L45" s="4">
        <v>1</v>
      </c>
      <c r="M45" s="4">
        <v>8</v>
      </c>
      <c r="N45" s="4">
        <v>4.9999999999999998E-8</v>
      </c>
      <c r="O45" s="4">
        <v>0.01</v>
      </c>
      <c r="P45" s="4">
        <v>1</v>
      </c>
      <c r="Q45" s="21">
        <v>1E-4</v>
      </c>
      <c r="R45" s="7">
        <v>0</v>
      </c>
      <c r="S45" s="4">
        <v>1</v>
      </c>
      <c r="T45" s="4">
        <v>500</v>
      </c>
      <c r="U45" s="8">
        <v>2</v>
      </c>
      <c r="V45" s="4">
        <v>1.0000000000000001E-5</v>
      </c>
    </row>
    <row r="46" spans="1:22" x14ac:dyDescent="0.3">
      <c r="A46" s="5">
        <v>6103</v>
      </c>
      <c r="B46" s="14" t="s">
        <v>27</v>
      </c>
      <c r="C46" s="4" t="s">
        <v>28</v>
      </c>
      <c r="D46" s="15" t="s">
        <v>25</v>
      </c>
      <c r="E46" s="8" t="s">
        <v>26</v>
      </c>
      <c r="F46" s="7">
        <f t="shared" si="2"/>
        <v>7.2550000000000002E-5</v>
      </c>
      <c r="G46" s="4">
        <v>150</v>
      </c>
      <c r="H46" s="4">
        <v>0.15</v>
      </c>
      <c r="I46" s="4">
        <v>303</v>
      </c>
      <c r="J46" s="8">
        <v>1730</v>
      </c>
      <c r="K46" s="7">
        <v>50</v>
      </c>
      <c r="L46" s="4">
        <v>1</v>
      </c>
      <c r="M46" s="4">
        <v>8</v>
      </c>
      <c r="N46" s="4">
        <v>4.9999999999999998E-8</v>
      </c>
      <c r="O46" s="4">
        <v>0.01</v>
      </c>
      <c r="P46" s="4">
        <v>1</v>
      </c>
      <c r="Q46" s="21">
        <v>1E-4</v>
      </c>
      <c r="R46" s="7">
        <v>0</v>
      </c>
      <c r="S46" s="4">
        <v>1</v>
      </c>
      <c r="T46" s="4">
        <v>500</v>
      </c>
      <c r="U46" s="8">
        <v>2</v>
      </c>
      <c r="V46" s="4">
        <v>5.0000000000000004E-6</v>
      </c>
    </row>
    <row r="47" spans="1:22" x14ac:dyDescent="0.3">
      <c r="A47" s="5">
        <v>6104</v>
      </c>
      <c r="B47" s="14" t="s">
        <v>27</v>
      </c>
      <c r="C47" s="4" t="s">
        <v>28</v>
      </c>
      <c r="D47" s="15" t="s">
        <v>25</v>
      </c>
      <c r="E47" s="8" t="s">
        <v>26</v>
      </c>
      <c r="F47" s="7">
        <f t="shared" si="2"/>
        <v>7.2550000000000002E-5</v>
      </c>
      <c r="G47" s="4">
        <v>150</v>
      </c>
      <c r="H47" s="4">
        <v>0.15</v>
      </c>
      <c r="I47" s="4">
        <v>303</v>
      </c>
      <c r="J47" s="8">
        <v>1730</v>
      </c>
      <c r="K47" s="7">
        <v>50</v>
      </c>
      <c r="L47" s="4">
        <v>1</v>
      </c>
      <c r="M47" s="4">
        <v>8</v>
      </c>
      <c r="N47" s="4">
        <v>4.9999999999999998E-8</v>
      </c>
      <c r="O47" s="4">
        <v>0.01</v>
      </c>
      <c r="P47" s="4">
        <v>1</v>
      </c>
      <c r="Q47" s="21">
        <v>1E-4</v>
      </c>
      <c r="R47" s="7">
        <v>0</v>
      </c>
      <c r="S47" s="4">
        <v>1</v>
      </c>
      <c r="T47" s="4">
        <v>500</v>
      </c>
      <c r="U47" s="8">
        <v>2</v>
      </c>
      <c r="V47" s="4">
        <v>2.5000000000000002E-6</v>
      </c>
    </row>
    <row r="48" spans="1:22" x14ac:dyDescent="0.3">
      <c r="A48" s="5">
        <v>6105</v>
      </c>
      <c r="B48" s="14" t="s">
        <v>27</v>
      </c>
      <c r="C48" s="4" t="s">
        <v>28</v>
      </c>
      <c r="D48" s="15" t="s">
        <v>25</v>
      </c>
      <c r="E48" s="8" t="s">
        <v>26</v>
      </c>
      <c r="F48" s="7">
        <f t="shared" si="2"/>
        <v>7.2550000000000002E-5</v>
      </c>
      <c r="G48" s="4">
        <v>150</v>
      </c>
      <c r="H48" s="4">
        <v>0.15</v>
      </c>
      <c r="I48" s="4">
        <v>303</v>
      </c>
      <c r="J48" s="8">
        <v>1730</v>
      </c>
      <c r="K48" s="7">
        <v>50</v>
      </c>
      <c r="L48" s="4">
        <v>1</v>
      </c>
      <c r="M48" s="4">
        <v>8</v>
      </c>
      <c r="N48" s="4">
        <v>4.9999999999999998E-8</v>
      </c>
      <c r="O48" s="4">
        <v>0.01</v>
      </c>
      <c r="P48" s="4">
        <v>1</v>
      </c>
      <c r="Q48" s="21">
        <v>1E-4</v>
      </c>
      <c r="R48" s="7">
        <v>0</v>
      </c>
      <c r="S48" s="4">
        <v>1</v>
      </c>
      <c r="T48" s="4">
        <v>500</v>
      </c>
      <c r="U48" s="8">
        <v>2</v>
      </c>
      <c r="V48" s="4">
        <f>V47/2</f>
        <v>1.2500000000000001E-6</v>
      </c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29">
        <v>1301</v>
      </c>
      <c r="B50" s="33" t="s">
        <v>31</v>
      </c>
      <c r="C50" s="30" t="s">
        <v>28</v>
      </c>
      <c r="D50" s="34" t="s">
        <v>25</v>
      </c>
      <c r="E50" s="31" t="s">
        <v>32</v>
      </c>
      <c r="F50" s="32">
        <v>3.6275000000000001E-5</v>
      </c>
      <c r="G50" s="30">
        <v>150</v>
      </c>
      <c r="H50" s="30">
        <v>0.15</v>
      </c>
      <c r="I50" s="30">
        <v>340</v>
      </c>
      <c r="J50" s="31">
        <v>1730</v>
      </c>
      <c r="K50" s="32">
        <v>30</v>
      </c>
      <c r="L50" s="30">
        <v>1</v>
      </c>
      <c r="M50" s="30">
        <v>7</v>
      </c>
      <c r="N50" s="30">
        <v>1.0000000000000001E-9</v>
      </c>
      <c r="O50" s="30">
        <v>10</v>
      </c>
      <c r="P50" s="30">
        <v>1</v>
      </c>
      <c r="Q50" s="31">
        <v>1E-4</v>
      </c>
      <c r="R50" s="32">
        <v>0</v>
      </c>
      <c r="S50" s="30">
        <v>1</v>
      </c>
      <c r="T50" s="30">
        <v>500</v>
      </c>
      <c r="U50" s="31">
        <v>2</v>
      </c>
    </row>
    <row r="51" spans="1:21" x14ac:dyDescent="0.3">
      <c r="A51" s="29">
        <v>1302</v>
      </c>
      <c r="B51" s="33" t="s">
        <v>31</v>
      </c>
      <c r="C51" s="30" t="s">
        <v>28</v>
      </c>
      <c r="D51" s="34" t="s">
        <v>25</v>
      </c>
      <c r="E51" s="31" t="s">
        <v>32</v>
      </c>
      <c r="F51" s="32">
        <v>7.2550000000000002E-5</v>
      </c>
      <c r="G51" s="30">
        <v>150</v>
      </c>
      <c r="H51" s="30">
        <v>0.15</v>
      </c>
      <c r="I51" s="30">
        <v>340</v>
      </c>
      <c r="J51" s="31">
        <v>1730</v>
      </c>
      <c r="K51" s="32">
        <v>30</v>
      </c>
      <c r="L51" s="30">
        <v>1</v>
      </c>
      <c r="M51" s="30">
        <v>7</v>
      </c>
      <c r="N51" s="30">
        <v>1.0000000000000001E-9</v>
      </c>
      <c r="O51" s="30">
        <v>10</v>
      </c>
      <c r="P51" s="30">
        <v>1</v>
      </c>
      <c r="Q51" s="31">
        <v>1E-4</v>
      </c>
      <c r="R51" s="32">
        <v>0</v>
      </c>
      <c r="S51" s="30">
        <v>1</v>
      </c>
      <c r="T51" s="30">
        <v>500</v>
      </c>
      <c r="U51" s="31">
        <v>2</v>
      </c>
    </row>
    <row r="52" spans="1:21" x14ac:dyDescent="0.3">
      <c r="A52" s="29">
        <v>1303</v>
      </c>
      <c r="B52" s="33" t="s">
        <v>31</v>
      </c>
      <c r="C52" s="30" t="s">
        <v>28</v>
      </c>
      <c r="D52" s="34" t="s">
        <v>25</v>
      </c>
      <c r="E52" s="31" t="s">
        <v>32</v>
      </c>
      <c r="F52" s="32">
        <v>1.451E-4</v>
      </c>
      <c r="G52" s="30">
        <v>150</v>
      </c>
      <c r="H52" s="30">
        <v>0.15</v>
      </c>
      <c r="I52" s="30">
        <v>340</v>
      </c>
      <c r="J52" s="31">
        <v>1730</v>
      </c>
      <c r="K52" s="32">
        <v>30</v>
      </c>
      <c r="L52" s="30">
        <v>1</v>
      </c>
      <c r="M52" s="30">
        <v>7</v>
      </c>
      <c r="N52" s="30">
        <v>1.0000000000000001E-9</v>
      </c>
      <c r="O52" s="30">
        <v>10</v>
      </c>
      <c r="P52" s="30">
        <v>1</v>
      </c>
      <c r="Q52" s="31">
        <v>1E-4</v>
      </c>
      <c r="R52" s="32">
        <v>0</v>
      </c>
      <c r="S52" s="30">
        <v>1</v>
      </c>
      <c r="T52" s="30">
        <v>500</v>
      </c>
      <c r="U52" s="31">
        <v>2</v>
      </c>
    </row>
    <row r="53" spans="1:21" x14ac:dyDescent="0.3">
      <c r="A53" s="29">
        <v>1304</v>
      </c>
      <c r="B53" s="33" t="s">
        <v>31</v>
      </c>
      <c r="C53" s="30" t="s">
        <v>28</v>
      </c>
      <c r="D53" s="34" t="s">
        <v>25</v>
      </c>
      <c r="E53" s="31" t="s">
        <v>32</v>
      </c>
      <c r="F53" s="32">
        <v>2.1765E-4</v>
      </c>
      <c r="G53" s="30">
        <v>150</v>
      </c>
      <c r="H53" s="30">
        <v>0.15</v>
      </c>
      <c r="I53" s="30">
        <v>340</v>
      </c>
      <c r="J53" s="31">
        <v>1730</v>
      </c>
      <c r="K53" s="32">
        <v>30</v>
      </c>
      <c r="L53" s="30">
        <v>1</v>
      </c>
      <c r="M53" s="30">
        <v>7</v>
      </c>
      <c r="N53" s="30">
        <v>1.0000000000000001E-9</v>
      </c>
      <c r="O53" s="30">
        <v>10</v>
      </c>
      <c r="P53" s="30">
        <v>1</v>
      </c>
      <c r="Q53" s="31">
        <v>1E-4</v>
      </c>
      <c r="R53" s="32">
        <v>0</v>
      </c>
      <c r="S53" s="30">
        <v>1</v>
      </c>
      <c r="T53" s="30">
        <v>500</v>
      </c>
      <c r="U53" s="31">
        <v>2</v>
      </c>
    </row>
    <row r="54" spans="1:21" x14ac:dyDescent="0.3">
      <c r="A54" s="29">
        <v>1305</v>
      </c>
      <c r="B54" s="33" t="s">
        <v>31</v>
      </c>
      <c r="C54" s="30" t="s">
        <v>28</v>
      </c>
      <c r="D54" s="34" t="s">
        <v>25</v>
      </c>
      <c r="E54" s="31" t="s">
        <v>32</v>
      </c>
      <c r="F54" s="32">
        <v>2.9020000000000001E-4</v>
      </c>
      <c r="G54" s="30">
        <v>150</v>
      </c>
      <c r="H54" s="30">
        <v>0.15</v>
      </c>
      <c r="I54" s="30">
        <v>340</v>
      </c>
      <c r="J54" s="31">
        <v>1730</v>
      </c>
      <c r="K54" s="32">
        <v>30</v>
      </c>
      <c r="L54" s="30">
        <v>1</v>
      </c>
      <c r="M54" s="30">
        <v>7</v>
      </c>
      <c r="N54" s="30">
        <v>1.0000000000000001E-9</v>
      </c>
      <c r="O54" s="30">
        <v>10</v>
      </c>
      <c r="P54" s="30">
        <v>1</v>
      </c>
      <c r="Q54" s="31">
        <v>1E-4</v>
      </c>
      <c r="R54" s="32">
        <v>0</v>
      </c>
      <c r="S54" s="30">
        <v>1</v>
      </c>
      <c r="T54" s="30">
        <v>500</v>
      </c>
      <c r="U54" s="31">
        <v>2</v>
      </c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  <row r="164" spans="1:21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4"/>
      <c r="Q164" s="8"/>
      <c r="R164" s="7"/>
      <c r="S164" s="4"/>
      <c r="T164" s="4"/>
      <c r="U164" s="8"/>
    </row>
    <row r="165" spans="1:21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4"/>
      <c r="Q165" s="8"/>
      <c r="R165" s="7"/>
      <c r="S165" s="4"/>
      <c r="T165" s="4"/>
      <c r="U165" s="8"/>
    </row>
    <row r="166" spans="1:21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4"/>
      <c r="Q166" s="8"/>
      <c r="R166" s="7"/>
      <c r="S166" s="4"/>
      <c r="T166" s="4"/>
      <c r="U166" s="8"/>
    </row>
    <row r="167" spans="1:21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4"/>
      <c r="Q167" s="8"/>
      <c r="R167" s="7"/>
      <c r="S167" s="4"/>
      <c r="T167" s="4"/>
      <c r="U167" s="8"/>
    </row>
  </sheetData>
  <mergeCells count="4">
    <mergeCell ref="B1:E1"/>
    <mergeCell ref="F1:J1"/>
    <mergeCell ref="K1:Q1"/>
    <mergeCell ref="R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U163"/>
  <sheetViews>
    <sheetView tabSelected="1" workbookViewId="0">
      <selection activeCell="F16" sqref="F16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4.44140625" bestFit="1" customWidth="1"/>
    <col min="15" max="15" width="10" customWidth="1"/>
    <col min="16" max="16" width="11.6640625" bestFit="1" customWidth="1"/>
    <col min="17" max="17" width="8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1" ht="15.6" x14ac:dyDescent="0.3">
      <c r="A1" s="11" t="s">
        <v>24</v>
      </c>
      <c r="B1" s="25" t="s">
        <v>18</v>
      </c>
      <c r="C1" s="26"/>
      <c r="D1" s="26"/>
      <c r="E1" s="27"/>
      <c r="F1" s="25" t="s">
        <v>12</v>
      </c>
      <c r="G1" s="26"/>
      <c r="H1" s="26"/>
      <c r="I1" s="26"/>
      <c r="J1" s="27"/>
      <c r="K1" s="25" t="s">
        <v>0</v>
      </c>
      <c r="L1" s="28"/>
      <c r="M1" s="26"/>
      <c r="N1" s="26"/>
      <c r="O1" s="26"/>
      <c r="P1" s="26"/>
      <c r="Q1" s="27"/>
      <c r="R1" s="25" t="s">
        <v>7</v>
      </c>
      <c r="S1" s="26"/>
      <c r="T1" s="26"/>
      <c r="U1" s="27"/>
    </row>
    <row r="2" spans="1:21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29">
        <v>1301</v>
      </c>
      <c r="B3" s="33" t="s">
        <v>31</v>
      </c>
      <c r="C3" s="30" t="s">
        <v>28</v>
      </c>
      <c r="D3" s="34" t="s">
        <v>25</v>
      </c>
      <c r="E3" s="31" t="s">
        <v>32</v>
      </c>
      <c r="F3" s="32">
        <v>3.6275000000000001E-5</v>
      </c>
      <c r="G3" s="30">
        <v>150</v>
      </c>
      <c r="H3" s="30">
        <v>0.15</v>
      </c>
      <c r="I3" s="30">
        <v>340</v>
      </c>
      <c r="J3" s="31">
        <v>1730</v>
      </c>
      <c r="K3" s="32">
        <v>30</v>
      </c>
      <c r="L3" s="30">
        <v>1</v>
      </c>
      <c r="M3" s="30">
        <v>7</v>
      </c>
      <c r="N3" s="30">
        <v>1.0000000000000001E-9</v>
      </c>
      <c r="O3" s="30">
        <v>10</v>
      </c>
      <c r="P3" s="30">
        <v>1</v>
      </c>
      <c r="Q3" s="31">
        <v>1E-4</v>
      </c>
      <c r="R3" s="32">
        <v>0</v>
      </c>
      <c r="S3" s="30">
        <v>1</v>
      </c>
      <c r="T3" s="30">
        <v>500</v>
      </c>
      <c r="U3" s="31">
        <v>2</v>
      </c>
    </row>
    <row r="4" spans="1:21" x14ac:dyDescent="0.3">
      <c r="A4" s="29">
        <v>1302</v>
      </c>
      <c r="B4" s="33" t="s">
        <v>31</v>
      </c>
      <c r="C4" s="30" t="s">
        <v>28</v>
      </c>
      <c r="D4" s="34" t="s">
        <v>25</v>
      </c>
      <c r="E4" s="31" t="s">
        <v>32</v>
      </c>
      <c r="F4" s="32">
        <v>7.2550000000000002E-5</v>
      </c>
      <c r="G4" s="30">
        <v>150</v>
      </c>
      <c r="H4" s="30">
        <v>0.15</v>
      </c>
      <c r="I4" s="30">
        <v>340</v>
      </c>
      <c r="J4" s="31">
        <v>1730</v>
      </c>
      <c r="K4" s="32">
        <v>30</v>
      </c>
      <c r="L4" s="30">
        <v>1</v>
      </c>
      <c r="M4" s="30">
        <v>7</v>
      </c>
      <c r="N4" s="30">
        <v>1.0000000000000001E-9</v>
      </c>
      <c r="O4" s="30">
        <v>10</v>
      </c>
      <c r="P4" s="30">
        <v>1</v>
      </c>
      <c r="Q4" s="31">
        <v>1E-4</v>
      </c>
      <c r="R4" s="32">
        <v>0</v>
      </c>
      <c r="S4" s="30">
        <v>1</v>
      </c>
      <c r="T4" s="30">
        <v>500</v>
      </c>
      <c r="U4" s="31">
        <v>2</v>
      </c>
    </row>
    <row r="5" spans="1:21" x14ac:dyDescent="0.3">
      <c r="A5" s="29">
        <v>1303</v>
      </c>
      <c r="B5" s="33" t="s">
        <v>31</v>
      </c>
      <c r="C5" s="30" t="s">
        <v>28</v>
      </c>
      <c r="D5" s="34" t="s">
        <v>25</v>
      </c>
      <c r="E5" s="31" t="s">
        <v>32</v>
      </c>
      <c r="F5" s="32">
        <v>1.451E-4</v>
      </c>
      <c r="G5" s="30">
        <v>150</v>
      </c>
      <c r="H5" s="30">
        <v>0.15</v>
      </c>
      <c r="I5" s="30">
        <v>340</v>
      </c>
      <c r="J5" s="31">
        <v>1730</v>
      </c>
      <c r="K5" s="32">
        <v>30</v>
      </c>
      <c r="L5" s="30">
        <v>1</v>
      </c>
      <c r="M5" s="30">
        <v>7</v>
      </c>
      <c r="N5" s="30">
        <v>1.0000000000000001E-9</v>
      </c>
      <c r="O5" s="30">
        <v>10</v>
      </c>
      <c r="P5" s="30">
        <v>1</v>
      </c>
      <c r="Q5" s="31">
        <v>1E-4</v>
      </c>
      <c r="R5" s="32">
        <v>0</v>
      </c>
      <c r="S5" s="30">
        <v>1</v>
      </c>
      <c r="T5" s="30">
        <v>500</v>
      </c>
      <c r="U5" s="31">
        <v>2</v>
      </c>
    </row>
    <row r="6" spans="1:21" x14ac:dyDescent="0.3">
      <c r="A6" s="29">
        <v>1304</v>
      </c>
      <c r="B6" s="33" t="s">
        <v>31</v>
      </c>
      <c r="C6" s="30" t="s">
        <v>28</v>
      </c>
      <c r="D6" s="34" t="s">
        <v>25</v>
      </c>
      <c r="E6" s="31" t="s">
        <v>32</v>
      </c>
      <c r="F6" s="32">
        <v>2.1765E-4</v>
      </c>
      <c r="G6" s="30">
        <v>150</v>
      </c>
      <c r="H6" s="30">
        <v>0.15</v>
      </c>
      <c r="I6" s="30">
        <v>340</v>
      </c>
      <c r="J6" s="31">
        <v>1730</v>
      </c>
      <c r="K6" s="32">
        <v>30</v>
      </c>
      <c r="L6" s="30">
        <v>1</v>
      </c>
      <c r="M6" s="30">
        <v>7</v>
      </c>
      <c r="N6" s="30">
        <v>1.0000000000000001E-9</v>
      </c>
      <c r="O6" s="30">
        <v>10</v>
      </c>
      <c r="P6" s="30">
        <v>1</v>
      </c>
      <c r="Q6" s="31">
        <v>1E-4</v>
      </c>
      <c r="R6" s="32">
        <v>0</v>
      </c>
      <c r="S6" s="30">
        <v>1</v>
      </c>
      <c r="T6" s="30">
        <v>500</v>
      </c>
      <c r="U6" s="31">
        <v>2</v>
      </c>
    </row>
    <row r="7" spans="1:21" x14ac:dyDescent="0.3">
      <c r="A7" s="29">
        <v>1305</v>
      </c>
      <c r="B7" s="33" t="s">
        <v>31</v>
      </c>
      <c r="C7" s="30" t="s">
        <v>28</v>
      </c>
      <c r="D7" s="34" t="s">
        <v>25</v>
      </c>
      <c r="E7" s="31" t="s">
        <v>32</v>
      </c>
      <c r="F7" s="32">
        <v>2.9020000000000001E-4</v>
      </c>
      <c r="G7" s="30">
        <v>150</v>
      </c>
      <c r="H7" s="30">
        <v>0.15</v>
      </c>
      <c r="I7" s="30">
        <v>340</v>
      </c>
      <c r="J7" s="31">
        <v>1730</v>
      </c>
      <c r="K7" s="32">
        <v>30</v>
      </c>
      <c r="L7" s="30">
        <v>1</v>
      </c>
      <c r="M7" s="30">
        <v>7</v>
      </c>
      <c r="N7" s="30">
        <v>1.0000000000000001E-9</v>
      </c>
      <c r="O7" s="30">
        <v>10</v>
      </c>
      <c r="P7" s="30">
        <v>1</v>
      </c>
      <c r="Q7" s="31">
        <v>1E-4</v>
      </c>
      <c r="R7" s="32">
        <v>0</v>
      </c>
      <c r="S7" s="30">
        <v>1</v>
      </c>
      <c r="T7" s="30">
        <v>500</v>
      </c>
      <c r="U7" s="31">
        <v>2</v>
      </c>
    </row>
    <row r="8" spans="1:21" x14ac:dyDescent="0.3">
      <c r="A8" s="5"/>
      <c r="B8" s="14"/>
      <c r="C8" s="4"/>
      <c r="D8" s="15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4"/>
      <c r="Q8" s="16"/>
      <c r="R8" s="7"/>
      <c r="S8" s="4"/>
      <c r="T8" s="4"/>
      <c r="U8" s="8"/>
    </row>
    <row r="9" spans="1:21" x14ac:dyDescent="0.3">
      <c r="A9" s="5"/>
      <c r="B9" s="14"/>
      <c r="C9" s="4"/>
      <c r="D9" s="15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4"/>
      <c r="Q9" s="16"/>
      <c r="R9" s="7"/>
      <c r="S9" s="4"/>
      <c r="T9" s="4"/>
      <c r="U9" s="8"/>
    </row>
    <row r="10" spans="1:21" x14ac:dyDescent="0.3">
      <c r="A10" s="5"/>
      <c r="B10" s="14"/>
      <c r="C10" s="4"/>
      <c r="D10" s="15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4"/>
      <c r="Q10" s="16"/>
      <c r="R10" s="7"/>
      <c r="S10" s="4"/>
      <c r="T10" s="4"/>
      <c r="U10" s="8"/>
    </row>
    <row r="11" spans="1:21" x14ac:dyDescent="0.3">
      <c r="A11" s="5"/>
      <c r="B11" s="14"/>
      <c r="C11" s="4"/>
      <c r="D11" s="15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4"/>
      <c r="Q11" s="16"/>
      <c r="R11" s="7"/>
      <c r="S11" s="4"/>
      <c r="T11" s="4"/>
      <c r="U11" s="8"/>
    </row>
    <row r="12" spans="1:21" x14ac:dyDescent="0.3">
      <c r="A12" s="5"/>
      <c r="B12" s="14"/>
      <c r="C12" s="4"/>
      <c r="D12" s="15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5"/>
      <c r="B13" s="14"/>
      <c r="C13" s="4"/>
      <c r="D13" s="15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4"/>
      <c r="Q13" s="16"/>
      <c r="R13" s="7"/>
      <c r="S13" s="4"/>
      <c r="T13" s="4"/>
      <c r="U13" s="8"/>
    </row>
    <row r="14" spans="1:21" x14ac:dyDescent="0.3">
      <c r="A14" s="5"/>
      <c r="B14" s="14"/>
      <c r="C14" s="4"/>
      <c r="D14" s="15"/>
      <c r="E14" s="8"/>
      <c r="F14" s="7"/>
      <c r="G14" s="4"/>
      <c r="H14" s="4"/>
      <c r="I14" s="4"/>
      <c r="J14" s="8"/>
      <c r="K14" s="7"/>
      <c r="L14" s="4"/>
      <c r="M14" s="4"/>
      <c r="N14" s="17"/>
      <c r="O14" s="4"/>
      <c r="P14" s="4"/>
      <c r="Q14" s="16"/>
      <c r="R14" s="7"/>
      <c r="S14" s="4"/>
      <c r="T14" s="4"/>
      <c r="U14" s="8"/>
    </row>
    <row r="15" spans="1:21" x14ac:dyDescent="0.3">
      <c r="A15" s="5"/>
      <c r="B15" s="14"/>
      <c r="C15" s="4"/>
      <c r="D15" s="15"/>
      <c r="E15" s="8"/>
      <c r="F15" s="7"/>
      <c r="G15" s="4"/>
      <c r="H15" s="4"/>
      <c r="I15" s="4"/>
      <c r="J15" s="8"/>
      <c r="K15" s="7"/>
      <c r="L15" s="4"/>
      <c r="M15" s="4"/>
      <c r="N15" s="17"/>
      <c r="O15" s="4"/>
      <c r="P15" s="4"/>
      <c r="Q15" s="16"/>
      <c r="R15" s="7"/>
      <c r="S15" s="4"/>
      <c r="T15" s="4"/>
      <c r="U15" s="8"/>
    </row>
    <row r="16" spans="1:21" x14ac:dyDescent="0.3">
      <c r="A16" s="5"/>
      <c r="B16" s="14"/>
      <c r="C16" s="4"/>
      <c r="D16" s="15"/>
      <c r="E16" s="8"/>
      <c r="F16" s="7"/>
      <c r="G16" s="4"/>
      <c r="H16" s="4"/>
      <c r="I16" s="4"/>
      <c r="J16" s="8"/>
      <c r="K16" s="7"/>
      <c r="L16" s="4"/>
      <c r="M16" s="4"/>
      <c r="N16" s="17"/>
      <c r="O16" s="4"/>
      <c r="P16" s="4"/>
      <c r="Q16" s="16"/>
      <c r="R16" s="7"/>
      <c r="S16" s="4"/>
      <c r="T16" s="4"/>
      <c r="U16" s="8"/>
    </row>
    <row r="17" spans="1:21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4"/>
      <c r="Q17" s="8"/>
      <c r="R17" s="7"/>
      <c r="S17" s="4"/>
      <c r="T17" s="4"/>
      <c r="U17" s="8"/>
    </row>
    <row r="18" spans="1:21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4"/>
      <c r="Q18" s="8"/>
      <c r="R18" s="7"/>
      <c r="S18" s="4"/>
      <c r="T18" s="4"/>
      <c r="U18" s="8"/>
    </row>
    <row r="19" spans="1:21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4"/>
      <c r="Q19" s="8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  <row r="162" spans="1:21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4"/>
      <c r="Q162" s="8"/>
      <c r="R162" s="7"/>
      <c r="S162" s="4"/>
      <c r="T162" s="4"/>
      <c r="U162" s="8"/>
    </row>
    <row r="163" spans="1:21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4"/>
      <c r="Q163" s="8"/>
      <c r="R163" s="7"/>
      <c r="S163" s="4"/>
      <c r="T163" s="4"/>
      <c r="U163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2025-10-07T11:26:30Z</dcterms:modified>
</cp:coreProperties>
</file>