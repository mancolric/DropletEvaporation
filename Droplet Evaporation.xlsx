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41B7468A-ED5C-4EFE-8E61-2C9FEEB3AA5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F3" i="4"/>
</calcChain>
</file>

<file path=xl/sharedStrings.xml><?xml version="1.0" encoding="utf-8"?>
<sst xmlns="http://schemas.openxmlformats.org/spreadsheetml/2006/main" count="80" uniqueCount="49">
  <si>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</si>
  <si>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</si>
  <si>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</si>
  <si>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</si>
  <si>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</si>
  <si>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</si>
  <si>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</si>
  <si>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</si>
  <si>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</si>
  <si>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</si>
  <si>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</si>
  <si>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</si>
  <si>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</si>
  <si>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</si>
  <si>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</si>
  <si>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</si>
  <si>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</si>
  <si>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</si>
  <si>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</si>
  <si>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</si>
  <si>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</si>
  <si>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</si>
  <si>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</si>
  <si>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'Hexadecano'</t>
  </si>
  <si>
    <t>1.00</t>
  </si>
  <si>
    <t>'N2', 'O2', 'CO2', 'H2O'</t>
  </si>
  <si>
    <t>0.79, 0.21, 0.00, 0.00</t>
  </si>
  <si>
    <t>(500e-6)/2</t>
  </si>
  <si>
    <t>0.05</t>
  </si>
  <si>
    <t>true</t>
  </si>
  <si>
    <t>false</t>
  </si>
  <si>
    <t>0.001</t>
  </si>
  <si>
    <t>0.0000001</t>
  </si>
  <si>
    <t>Numero</t>
  </si>
  <si>
    <t>#SIMULATION</t>
  </si>
  <si>
    <t>Octano', 'Hexadecano'</t>
  </si>
  <si>
    <t>0.4, 0.6</t>
  </si>
  <si>
    <t>0.79, 0.00, 0.15, 0.06</t>
  </si>
  <si>
    <t>(149e-6)/2</t>
  </si>
  <si>
    <t>0.15</t>
  </si>
  <si>
    <t>0.0000002</t>
  </si>
  <si>
    <t>0.0005</t>
  </si>
  <si>
    <t>0,79; 0,21; 0,00; 0,00</t>
  </si>
  <si>
    <t>0,79; 0,00; 0,15; 0,06</t>
  </si>
  <si>
    <t>Hexadecano</t>
  </si>
  <si>
    <t>Octano; Hexadecano</t>
  </si>
  <si>
    <t>N2; O2; CO2; H2O</t>
  </si>
  <si>
    <t>0,40; 0,60</t>
  </si>
  <si>
    <t>1,00;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</si>
</sst>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7"/>
  <sheetViews>
    <sheetView workbookViewId="0">
      <selection activeCell="H13" sqref="H13"/>
    </sheetView>
  </sheetViews>
  <sheetFormatPr baseColWidth="10" defaultColWidth="8.88671875" defaultRowHeight="14.4" x14ac:dyDescent="0.3"/>
  <cols>
    <col min="1" max="1" width="14.109375" style="6" bestFit="1" customWidth="1"/>
    <col min="2" max="2" width="12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5.554687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17" t="s">
        <v>18</v>
      </c>
      <c r="C1" s="17"/>
      <c r="D1" s="17"/>
      <c r="E1" s="18"/>
      <c r="F1" s="19" t="s">
        <v>12</v>
      </c>
      <c r="G1" s="17"/>
      <c r="H1" s="17"/>
      <c r="I1" s="17"/>
      <c r="J1" s="18"/>
      <c r="K1" s="19" t="s">
        <v>0</v>
      </c>
      <c r="L1" s="17"/>
      <c r="M1" s="17"/>
      <c r="N1" s="17"/>
      <c r="O1" s="17"/>
      <c r="P1" s="18"/>
      <c r="Q1" s="19" t="s">
        <v>7</v>
      </c>
      <c r="R1" s="17"/>
      <c r="S1" s="17"/>
      <c r="T1" s="18"/>
    </row>
    <row r="2" spans="1:20" ht="16.2" thickBot="1" x14ac:dyDescent="0.35">
      <c r="A2" s="13" t="s">
        <v>33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23</v>
      </c>
      <c r="C3" s="4" t="s">
        <v>24</v>
      </c>
      <c r="D3" s="4" t="s">
        <v>25</v>
      </c>
      <c r="E3" s="8" t="s">
        <v>26</v>
      </c>
      <c r="F3" s="7" t="s">
        <v>27</v>
      </c>
      <c r="G3" s="4">
        <v>150</v>
      </c>
      <c r="H3" s="4" t="s">
        <v>28</v>
      </c>
      <c r="I3" s="4">
        <v>300</v>
      </c>
      <c r="J3" s="8">
        <v>2000</v>
      </c>
      <c r="K3" s="7">
        <v>40</v>
      </c>
      <c r="L3" s="4">
        <v>5</v>
      </c>
      <c r="M3" s="4" t="s">
        <v>32</v>
      </c>
      <c r="N3" s="4">
        <v>20</v>
      </c>
      <c r="O3" s="4" t="s">
        <v>29</v>
      </c>
      <c r="P3" s="8" t="s">
        <v>31</v>
      </c>
      <c r="Q3" s="7" t="s">
        <v>30</v>
      </c>
      <c r="R3" s="4" t="s">
        <v>29</v>
      </c>
      <c r="S3" s="4">
        <v>500</v>
      </c>
      <c r="T3" s="8">
        <v>5</v>
      </c>
    </row>
    <row r="4" spans="1:20" x14ac:dyDescent="0.3">
      <c r="A4" s="5">
        <v>1002</v>
      </c>
      <c r="B4" s="14" t="s">
        <v>35</v>
      </c>
      <c r="C4" s="4" t="s">
        <v>36</v>
      </c>
      <c r="D4" s="4" t="s">
        <v>25</v>
      </c>
      <c r="E4" s="8" t="s">
        <v>37</v>
      </c>
      <c r="F4" s="7" t="s">
        <v>38</v>
      </c>
      <c r="G4" s="4">
        <v>160</v>
      </c>
      <c r="H4" s="4" t="s">
        <v>39</v>
      </c>
      <c r="I4" s="4">
        <v>305</v>
      </c>
      <c r="J4" s="8">
        <v>1730</v>
      </c>
      <c r="K4" s="7">
        <v>35</v>
      </c>
      <c r="L4" s="4">
        <v>4</v>
      </c>
      <c r="M4" s="4" t="s">
        <v>40</v>
      </c>
      <c r="N4" s="4">
        <v>10</v>
      </c>
      <c r="O4" s="4" t="s">
        <v>29</v>
      </c>
      <c r="P4" s="8" t="s">
        <v>41</v>
      </c>
      <c r="Q4" s="7" t="s">
        <v>30</v>
      </c>
      <c r="R4" s="4" t="s">
        <v>29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workbookViewId="0">
      <selection activeCell="R9" sqref="R9"/>
    </sheetView>
  </sheetViews>
  <sheetFormatPr baseColWidth="10" defaultColWidth="8.88671875" defaultRowHeight="14.4" x14ac:dyDescent="0.3"/>
  <cols>
    <col min="1" max="1" width="14.109375" style="6" bestFit="1" customWidth="1"/>
    <col min="2" max="2" width="12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0" bestFit="1" customWidth="1"/>
    <col min="14" max="14" width="7.5546875" bestFit="1" customWidth="1"/>
    <col min="15" max="15" width="11.6640625" bestFit="1" customWidth="1"/>
    <col min="16" max="16" width="5.554687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20" t="s">
        <v>18</v>
      </c>
      <c r="C1" s="21"/>
      <c r="D1" s="21"/>
      <c r="E1" s="22"/>
      <c r="F1" s="20" t="s">
        <v>12</v>
      </c>
      <c r="G1" s="21"/>
      <c r="H1" s="21"/>
      <c r="I1" s="21"/>
      <c r="J1" s="22"/>
      <c r="K1" s="20" t="s">
        <v>0</v>
      </c>
      <c r="L1" s="21"/>
      <c r="M1" s="21"/>
      <c r="N1" s="21"/>
      <c r="O1" s="21"/>
      <c r="P1" s="22"/>
      <c r="Q1" s="20" t="s">
        <v>7</v>
      </c>
      <c r="R1" s="21"/>
      <c r="S1" s="21"/>
      <c r="T1" s="22"/>
    </row>
    <row r="2" spans="1:20" ht="16.2" thickBot="1" x14ac:dyDescent="0.35">
      <c r="A2" s="13" t="s">
        <v>33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44</v>
      </c>
      <c r="C3" s="23" t="s">
        <v>48</v>
      </c>
      <c r="D3" s="16" t="s">
        <v>46</v>
      </c>
      <c r="E3" s="8" t="s">
        <v>42</v>
      </c>
      <c r="F3" s="7">
        <f>(0.0005)/2</f>
        <v>2.5000000000000001E-4</v>
      </c>
      <c r="G3" s="4">
        <v>150</v>
      </c>
      <c r="H3" s="4">
        <v>0.05</v>
      </c>
      <c r="I3" s="4">
        <v>300</v>
      </c>
      <c r="J3" s="8">
        <v>2000</v>
      </c>
      <c r="K3" s="7">
        <v>40</v>
      </c>
      <c r="L3" s="4">
        <v>5</v>
      </c>
      <c r="M3" s="4">
        <v>9.9999999999999995E-8</v>
      </c>
      <c r="N3" s="4">
        <v>20</v>
      </c>
      <c r="O3" s="4">
        <v>1</v>
      </c>
      <c r="P3" s="15">
        <v>1E-3</v>
      </c>
      <c r="Q3" s="7">
        <v>0</v>
      </c>
      <c r="R3" s="4">
        <v>1</v>
      </c>
      <c r="S3" s="4">
        <v>500</v>
      </c>
      <c r="T3" s="8">
        <v>5</v>
      </c>
    </row>
    <row r="4" spans="1:20" x14ac:dyDescent="0.3">
      <c r="A4" s="5">
        <v>1002</v>
      </c>
      <c r="B4" s="14" t="s">
        <v>45</v>
      </c>
      <c r="C4" s="4" t="s">
        <v>47</v>
      </c>
      <c r="D4" s="16" t="s">
        <v>46</v>
      </c>
      <c r="E4" s="8" t="s">
        <v>43</v>
      </c>
      <c r="F4" s="7">
        <f>(0.000149)/2</f>
        <v>7.4499999999999995E-5</v>
      </c>
      <c r="G4" s="4">
        <v>160</v>
      </c>
      <c r="H4" s="4">
        <v>0.15</v>
      </c>
      <c r="I4" s="4">
        <v>305</v>
      </c>
      <c r="J4" s="8">
        <v>1730</v>
      </c>
      <c r="K4" s="7">
        <v>35</v>
      </c>
      <c r="L4" s="4">
        <v>4</v>
      </c>
      <c r="M4" s="4">
        <v>1.9999999999999999E-7</v>
      </c>
      <c r="N4" s="4">
        <v>10</v>
      </c>
      <c r="O4" s="4">
        <v>1</v>
      </c>
      <c r="P4" s="15">
        <v>5.0000000000000001E-4</v>
      </c>
      <c r="Q4" s="7">
        <v>0</v>
      </c>
      <c r="R4" s="4">
        <v>1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2025-09-23T10:56:18Z</dcterms:modified>
</cp:coreProperties>
</file>